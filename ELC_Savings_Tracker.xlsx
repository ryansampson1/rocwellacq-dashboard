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vings Summary" sheetId="1" state="visible" r:id="rId3"/>
    <sheet name="QB Monthly Detail" sheetId="2" state="visible" r:id="rId4"/>
    <sheet name="T12M Summary" sheetId="3" state="visible" r:id="rId5"/>
    <sheet name="GL Instruct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<sst xmlns="http://schemas.openxmlformats.org/spreadsheetml/2006/main" count="164" uniqueCount="132">
  <si>
    <t xml:space="preserve">Eshenbaugh Land Company — CRM/Dashboard Build Savings Tracker</t>
  </si>
  <si>
    <t xml:space="preserve">Subscriptions cancelled by building internal CRM/Dashboard  |  Source: QuickBooks historical data &amp; current vendor pricing</t>
  </si>
  <si>
    <t xml:space="preserve">  SUBSCRIPTION SAVINGS BREAKDOWN</t>
  </si>
  <si>
    <t xml:space="preserve">Vendor</t>
  </si>
  <si>
    <t xml:space="preserve">QB Expense Category</t>
  </si>
  <si>
    <t xml:space="preserve">QB Total Paid
(2024–2025)</t>
  </si>
  <si>
    <t xml:space="preserve">Avg Annual
Historical</t>
  </si>
  <si>
    <t xml:space="preserve">Current List
Price (Annual)</t>
  </si>
  <si>
    <t xml:space="preserve">Annual
Savings</t>
  </si>
  <si>
    <t xml:space="preserve">Notes</t>
  </si>
  <si>
    <t xml:space="preserve">Daylite</t>
  </si>
  <si>
    <t xml:space="preserve">CRM</t>
  </si>
  <si>
    <t xml:space="preserve">QB category maps directly to Daylite CRM. Avg annual = $10,451.</t>
  </si>
  <si>
    <t xml:space="preserve">Constant Contact</t>
  </si>
  <si>
    <t xml:space="preserve">Email Blasts</t>
  </si>
  <si>
    <t xml:space="preserve">QB 'Email Blasts' category. Standard plan ~$380–475/mo in 2025.</t>
  </si>
  <si>
    <t xml:space="preserve">Ninety.io (EOS)</t>
  </si>
  <si>
    <t xml:space="preserve">Entrepreneurial Operating System</t>
  </si>
  <si>
    <t xml:space="preserve">⚠ May include EOS Implementer coaching fees, not just software. Ninety.io software list: $12–16/user/mo.</t>
  </si>
  <si>
    <t xml:space="preserve">Box.com</t>
  </si>
  <si>
    <t xml:space="preserve">Dues &amp; Subscriptions (partial)</t>
  </si>
  <si>
    <t xml:space="preserve">N/A – bundled</t>
  </si>
  <si>
    <t xml:space="preserve">Bundled in 'Dues &amp; Subscriptions' — cannot isolate. List price est. $15/user/mo × 10 users.</t>
  </si>
  <si>
    <t xml:space="preserve">Zapier</t>
  </si>
  <si>
    <t xml:space="preserve">Bundled in 'Dues &amp; Subscriptions' — cannot isolate. Team plan $69/mo.</t>
  </si>
  <si>
    <t xml:space="preserve">Compfolio</t>
  </si>
  <si>
    <t xml:space="preserve">TBD</t>
  </si>
  <si>
    <t xml:space="preserve">Pricing not publicly listed — update when confirmed.</t>
  </si>
  <si>
    <t xml:space="preserve">TOTAL ANNUAL SAVINGS</t>
  </si>
  <si>
    <t xml:space="preserve">⚠ Compfolio excluded until pricing confirmed</t>
  </si>
  <si>
    <t xml:space="preserve">📌  Note on 'Dues &amp; Subscriptions' category:  QuickBooks shows $31,915.92 total for 2024–2025 across this category. Box.com, Zapier, and Compfolio are all embedded in this bucket along with other miscellaneous subscriptions. Figures above for these three vendors use current list pricing as the best available estimate. For a precise breakdown, run a QuickBooks Transaction Detail report filtered by vendor name.</t>
  </si>
  <si>
    <t xml:space="preserve">  QB EXPENSE CATEGORY TOTALS  (2024 – 2025)</t>
  </si>
  <si>
    <t xml:space="preserve">2024 Total</t>
  </si>
  <si>
    <t xml:space="preserve">2025 Total</t>
  </si>
  <si>
    <t xml:space="preserve">Grand Total (2yr)</t>
  </si>
  <si>
    <t xml:space="preserve">Avg Annual</t>
  </si>
  <si>
    <t xml:space="preserve">Dues &amp; Subscriptions</t>
  </si>
  <si>
    <t xml:space="preserve">Entrepreneurial Op. System</t>
  </si>
  <si>
    <t xml:space="preserve">Computer &amp; Internet Expenses</t>
  </si>
  <si>
    <t xml:space="preserve">  CURRENT VENDOR PRICING REFERENCE  (as of May 2026)</t>
  </si>
  <si>
    <t xml:space="preserve">Plan / Tier</t>
  </si>
  <si>
    <t xml:space="preserve">Monthly (est.)</t>
  </si>
  <si>
    <t xml:space="preserve">Annual (est.)</t>
  </si>
  <si>
    <t xml:space="preserve">Business ($15/user/mo)</t>
  </si>
  <si>
    <t xml:space="preserve">Est. 10 users × $15/mo. List: $5–$47/user/mo</t>
  </si>
  <si>
    <t xml:space="preserve">Business (all modules)</t>
  </si>
  <si>
    <t xml:space="preserve">From QB historical data. List: $55/user/mo</t>
  </si>
  <si>
    <t xml:space="preserve">Team Plan</t>
  </si>
  <si>
    <t xml:space="preserve">Team: $69/mo (annual). Pro: $19.99/mo</t>
  </si>
  <si>
    <t xml:space="preserve">Standard Plan</t>
  </si>
  <si>
    <t xml:space="preserve">From QB historical data. List: $35–$80/mo</t>
  </si>
  <si>
    <t xml:space="preserve">Ninety.io</t>
  </si>
  <si>
    <t xml:space="preserve">Thrive / Team tier</t>
  </si>
  <si>
    <t xml:space="preserve">⚠ From QB 'EOS' category — may include coaching fees. Software: $16/user/mo</t>
  </si>
  <si>
    <t xml:space="preserve">Unknown</t>
  </si>
  <si>
    <t xml:space="preserve">Pricing not publicly listed — contact vendor</t>
  </si>
  <si>
    <t xml:space="preserve">Source: QuickBooks P&amp;L (Eshenbaugh Land Company, LLC) 2024–2025 | Current pricing: vendor websites &amp; G2 (May 2026)</t>
  </si>
  <si>
    <t xml:space="preserve">QuickBooks Monthly Expense Detail — Subscription-Related Categories (2024–2025)</t>
  </si>
  <si>
    <t xml:space="preserve">Month</t>
  </si>
  <si>
    <t xml:space="preserve">CRM
(→ Daylite)</t>
  </si>
  <si>
    <t xml:space="preserve">Dues &amp;
Subscriptions</t>
  </si>
  <si>
    <t xml:space="preserve">Entrepreneurial
Op. System (→ Ninety)</t>
  </si>
  <si>
    <t xml:space="preserve">Computer &amp;
Internet Exp.</t>
  </si>
  <si>
    <t xml:space="preserve">Email Blasts
(→ Const. Contact)</t>
  </si>
  <si>
    <t xml:space="preserve">Jan 2024</t>
  </si>
  <si>
    <t xml:space="preserve">Feb 2024</t>
  </si>
  <si>
    <t xml:space="preserve">Mar 2024</t>
  </si>
  <si>
    <t xml:space="preserve">Apr 2024</t>
  </si>
  <si>
    <t xml:space="preserve">May 2024</t>
  </si>
  <si>
    <t xml:space="preserve">Jun 2024</t>
  </si>
  <si>
    <t xml:space="preserve">Jul 2024</t>
  </si>
  <si>
    <t xml:space="preserve">Aug 2024</t>
  </si>
  <si>
    <t xml:space="preserve">Sep 2024</t>
  </si>
  <si>
    <t xml:space="preserve">Oct 2024</t>
  </si>
  <si>
    <t xml:space="preserve">Nov 2024</t>
  </si>
  <si>
    <t xml:space="preserve">Dec 2024</t>
  </si>
  <si>
    <t xml:space="preserve">Jan 2025</t>
  </si>
  <si>
    <t xml:space="preserve">Feb 2025</t>
  </si>
  <si>
    <t xml:space="preserve">Mar 2025</t>
  </si>
  <si>
    <t xml:space="preserve">Apr 2025</t>
  </si>
  <si>
    <t xml:space="preserve">May 2025</t>
  </si>
  <si>
    <t xml:space="preserve">Jun 2025</t>
  </si>
  <si>
    <t xml:space="preserve">Jul 2025</t>
  </si>
  <si>
    <t xml:space="preserve">Aug 2025</t>
  </si>
  <si>
    <t xml:space="preserve">Sep 2025</t>
  </si>
  <si>
    <t xml:space="preserve">Oct 2025</t>
  </si>
  <si>
    <t xml:space="preserve">Nov 2025</t>
  </si>
  <si>
    <t xml:space="preserve">Dec 2025</t>
  </si>
  <si>
    <t xml:space="preserve">TOTAL</t>
  </si>
  <si>
    <t xml:space="preserve">Trailing 12-Month Actual Spend by Category  (Jun 2025 – May 2026)</t>
  </si>
  <si>
    <t xml:space="preserve">Source: QuickBooks P&amp;L — Eshenbaugh Land Company, LLC  |  Note: These are QB account-category totals, not individual vendor amounts. See 'GL Instructions' tab for vendor-level breakdown.</t>
  </si>
  <si>
    <t xml:space="preserve">  CONFIRMED VENDOR SPEND  (QB category maps directly to single vendor)</t>
  </si>
  <si>
    <t xml:space="preserve">QB Category</t>
  </si>
  <si>
    <t xml:space="preserve">Vendor Being Cancelled</t>
  </si>
  <si>
    <t xml:space="preserve">T12M Actual Spend</t>
  </si>
  <si>
    <t xml:space="preserve">Annualized</t>
  </si>
  <si>
    <t xml:space="preserve">Source Note</t>
  </si>
  <si>
    <t xml:space="preserve">QB 'CRM' category → Daylite. Jul 2025: $5,880 | Jan 2026: $830. Annualized T12M.</t>
  </si>
  <si>
    <t xml:space="preserve">QB 'Email Blasts' category → Constant Contact. Monthly ~$325–$933.</t>
  </si>
  <si>
    <t xml:space="preserve">Ninety.io / EOS Consultant</t>
  </si>
  <si>
    <t xml:space="preserve">⚠ Aug $5k + Dec $10k + Mar $5k = $20k T12M. Likely includes coaching fees — confirm with vendor split.</t>
  </si>
  <si>
    <t xml:space="preserve">Confirmed Subtotal</t>
  </si>
  <si>
    <t xml:space="preserve">  BUNDLED CATEGORY SPEND  (Multiple vendors share these QB buckets — see GL Instructions tab)</t>
  </si>
  <si>
    <t xml:space="preserve">Box.com + Zapier + Compfolio + others</t>
  </si>
  <si>
    <t xml:space="preserve">— see GL —</t>
  </si>
  <si>
    <t xml:space="preserve">T12M total for entire category. Run GL by vendor to isolate each. Jan 2026 spike: $8,407 (likely annual renewals).</t>
  </si>
  <si>
    <t xml:space="preserve">Possible overlap with other software tools</t>
  </si>
  <si>
    <t xml:space="preserve">Catch-all for tech expenses. May partially include Box or Zapier. Run GL to confirm.</t>
  </si>
  <si>
    <t xml:space="preserve">How to Pull Vendor-Level General Ledger in QuickBooks Online</t>
  </si>
  <si>
    <t xml:space="preserve">  WHY THIS IS NEEDED</t>
  </si>
  <si>
    <t xml:space="preserve">The QuickBooks MCP integration returns category-level P&amp;L totals only. To see exactly how much was paid to Box.com, Zapier, and Compfolio individually, you need to run a Transaction Detail report in QuickBooks Online directly.</t>
  </si>
  <si>
    <t xml:space="preserve">  HOW TO RUN THE REPORT</t>
  </si>
  <si>
    <t xml:space="preserve">  Step 1:  Log into QuickBooks Online at qbo.intuit.com</t>
  </si>
  <si>
    <t xml:space="preserve">  Step 2:  Go to  Reports  (left nav)</t>
  </si>
  <si>
    <t xml:space="preserve">  Step 3:  In the search bar, type:  Transaction Detail by Account  → click it</t>
  </si>
  <si>
    <t xml:space="preserve">  Step 4:  Set the date range to  Last 12 Months  (or Jun 1 2025 – May 31 2026)</t>
  </si>
  <si>
    <t xml:space="preserve">  Step 5:  Click  Customize  → expand  Filter  → set Account to:</t>
  </si>
  <si>
    <t xml:space="preserve">  • Dues &amp; Subscriptions</t>
  </si>
  <si>
    <t xml:space="preserve">  • Computer &amp; Internet Expenses</t>
  </si>
  <si>
    <t xml:space="preserve">  • CRM</t>
  </si>
  <si>
    <t xml:space="preserve">  • Email Blasts</t>
  </si>
  <si>
    <t xml:space="preserve">  • Entrepreneurial Operating System</t>
  </si>
  <si>
    <t xml:space="preserve">  Step 6:  Click  Run Report  — this shows every individual charge with the payee name</t>
  </si>
  <si>
    <t xml:space="preserve">  Step 7:  Export to Excel (top-right Export button) and filter the Name column for:</t>
  </si>
  <si>
    <t xml:space="preserve">  • Box  (or Box.com)</t>
  </si>
  <si>
    <t xml:space="preserve">  • Zapier</t>
  </si>
  <si>
    <t xml:space="preserve">  • Compfolio</t>
  </si>
  <si>
    <t xml:space="preserve">  • Marketcircle  (Daylite's parent company)</t>
  </si>
  <si>
    <t xml:space="preserve">  • Constant Contact</t>
  </si>
  <si>
    <t xml:space="preserve">  • Ninety  (or EOS)</t>
  </si>
  <si>
    <t xml:space="preserve">  Step 8:  Paste annual totals per vendor back into the 'Savings Summary' tab, column D &amp; E</t>
  </si>
  <si>
    <t xml:space="preserve">  ALTERNATIVELY</t>
  </si>
</sst>
</file>

<file path=xl/styles.xml><?xml version="1.0" encoding="utf-8"?>
<styleSheet xmlns="http://schemas.openxmlformats.org/spreadsheetml/2006/main">
  <numFmts count="3">
    <numFmt numFmtId="164" formatCode="General"/>
    <numFmt numFmtId="165" formatCode="\$#,##0;&quot;($&quot;#,##0\);\-"/>
    <numFmt numFmtId="166" formatCode="\$#,##0;&quot;($&quot;#,##0\);\-"/>
  </numFmts>
  <fonts count="2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9"/>
      <color rgb="FFCCCCCC"/>
      <name val="Arial"/>
      <family val="0"/>
      <charset val="1"/>
    </font>
    <font>
      <b val="true"/>
      <sz val="10"/>
      <color rgb="FFFFFFFF"/>
      <name val="Arial"/>
      <family val="0"/>
      <charset val="1"/>
    </font>
    <font>
      <b val="true"/>
      <sz val="9"/>
      <color rgb="FFFFFFFF"/>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b val="true"/>
      <sz val="10"/>
      <color rgb="FF217346"/>
      <name val="Arial"/>
      <family val="0"/>
      <charset val="1"/>
    </font>
    <font>
      <sz val="9"/>
      <color rgb="FF555555"/>
      <name val="Arial"/>
      <family val="0"/>
      <charset val="1"/>
    </font>
    <font>
      <sz val="9"/>
      <color rgb="FF888888"/>
      <name val="Arial"/>
      <family val="0"/>
      <charset val="1"/>
    </font>
    <font>
      <sz val="9"/>
      <color rgb="FFFF0000"/>
      <name val="Arial"/>
      <family val="0"/>
      <charset val="1"/>
    </font>
    <font>
      <b val="true"/>
      <sz val="11"/>
      <color rgb="FFFFFFFF"/>
      <name val="Arial"/>
      <family val="0"/>
      <charset val="1"/>
    </font>
    <font>
      <i val="true"/>
      <sz val="9"/>
      <color rgb="FF444444"/>
      <name val="Arial"/>
      <family val="0"/>
      <charset val="1"/>
    </font>
    <font>
      <b val="true"/>
      <sz val="10"/>
      <color rgb="FFFF0000"/>
      <name val="Arial"/>
      <family val="0"/>
      <charset val="1"/>
    </font>
    <font>
      <i val="true"/>
      <sz val="8"/>
      <color rgb="FF888888"/>
      <name val="Arial"/>
      <family val="0"/>
      <charset val="1"/>
    </font>
    <font>
      <b val="true"/>
      <sz val="13"/>
      <color rgb="FFFFFFFF"/>
      <name val="Arial"/>
      <family val="0"/>
      <charset val="1"/>
    </font>
    <font>
      <sz val="10"/>
      <color rgb="FFCCCCCC"/>
      <name val="Arial"/>
      <family val="0"/>
      <charset val="1"/>
    </font>
    <font>
      <b val="true"/>
      <sz val="14"/>
      <color rgb="FFFFFFFF"/>
      <name val="Arial"/>
      <family val="0"/>
      <charset val="1"/>
    </font>
    <font>
      <sz val="10"/>
      <color rgb="FF444444"/>
      <name val="Arial"/>
      <family val="0"/>
      <charset val="1"/>
    </font>
  </fonts>
  <fills count="10">
    <fill>
      <patternFill patternType="none"/>
    </fill>
    <fill>
      <patternFill patternType="gray125"/>
    </fill>
    <fill>
      <patternFill patternType="solid">
        <fgColor rgb="FF1B2A4A"/>
        <bgColor rgb="FF003366"/>
      </patternFill>
    </fill>
    <fill>
      <patternFill patternType="solid">
        <fgColor rgb="FF2E4272"/>
        <bgColor rgb="FF444444"/>
      </patternFill>
    </fill>
    <fill>
      <patternFill patternType="solid">
        <fgColor rgb="FFFFFFFF"/>
        <bgColor rgb="FFF2F2F2"/>
      </patternFill>
    </fill>
    <fill>
      <patternFill patternType="solid">
        <fgColor rgb="FFF2F2F2"/>
        <bgColor rgb="FFFFFFFF"/>
      </patternFill>
    </fill>
    <fill>
      <patternFill patternType="solid">
        <fgColor rgb="FFD6E4F0"/>
        <bgColor rgb="FFF2F2F2"/>
      </patternFill>
    </fill>
    <fill>
      <patternFill patternType="solid">
        <fgColor rgb="FF217346"/>
        <bgColor rgb="FF008080"/>
      </patternFill>
    </fill>
    <fill>
      <patternFill patternType="solid">
        <fgColor rgb="FFFFF2CC"/>
        <bgColor rgb="FFFCE4D6"/>
      </patternFill>
    </fill>
    <fill>
      <patternFill patternType="solid">
        <fgColor rgb="FFFCE4D6"/>
        <bgColor rgb="FFFFF2CC"/>
      </patternFill>
    </fill>
  </fills>
  <borders count="3">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style="thin">
        <color rgb="FFBBBBBB"/>
      </left>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0" fillId="3" borderId="0" xfId="0" applyFont="false" applyBorder="true" applyAlignment="tru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false" indent="1" shrinkToFit="false"/>
      <protection locked="true" hidden="false"/>
    </xf>
    <xf numFmtId="164" fontId="9" fillId="4" borderId="1" xfId="0" applyFont="true" applyBorder="true" applyAlignment="true" applyProtection="false">
      <alignment horizontal="left" vertical="center" textRotation="0" wrapText="false" indent="1" shrinkToFit="false"/>
      <protection locked="true" hidden="false"/>
    </xf>
    <xf numFmtId="165" fontId="10" fillId="4" borderId="1" xfId="0" applyFont="true" applyBorder="true" applyAlignment="true" applyProtection="false">
      <alignment horizontal="center" vertical="center" textRotation="0" wrapText="false" indent="0" shrinkToFit="false"/>
      <protection locked="true" hidden="false"/>
    </xf>
    <xf numFmtId="165" fontId="9" fillId="4" borderId="1" xfId="0" applyFont="true" applyBorder="true" applyAlignment="true" applyProtection="false">
      <alignment horizontal="center" vertical="center" textRotation="0" wrapText="false" indent="0" shrinkToFit="false"/>
      <protection locked="true" hidden="false"/>
    </xf>
    <xf numFmtId="165" fontId="11" fillId="4"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left" vertical="center" textRotation="0" wrapText="false" indent="1" shrinkToFit="false"/>
      <protection locked="true" hidden="false"/>
    </xf>
    <xf numFmtId="164" fontId="8" fillId="5" borderId="1" xfId="0" applyFont="true" applyBorder="true" applyAlignment="true" applyProtection="false">
      <alignment horizontal="left" vertical="center" textRotation="0" wrapText="false" indent="1" shrinkToFit="false"/>
      <protection locked="true" hidden="false"/>
    </xf>
    <xf numFmtId="164" fontId="9" fillId="5" borderId="1" xfId="0" applyFont="true" applyBorder="true" applyAlignment="true" applyProtection="false">
      <alignment horizontal="left" vertical="center" textRotation="0" wrapText="false" indent="1" shrinkToFit="false"/>
      <protection locked="true" hidden="false"/>
    </xf>
    <xf numFmtId="165" fontId="10" fillId="5" borderId="1" xfId="0" applyFont="true" applyBorder="true" applyAlignment="true" applyProtection="false">
      <alignment horizontal="center" vertical="center" textRotation="0" wrapText="false" indent="0" shrinkToFit="false"/>
      <protection locked="true" hidden="false"/>
    </xf>
    <xf numFmtId="165" fontId="9" fillId="5" borderId="1" xfId="0" applyFont="true" applyBorder="true" applyAlignment="true" applyProtection="false">
      <alignment horizontal="center" vertical="center" textRotation="0" wrapText="false" indent="0" shrinkToFit="false"/>
      <protection locked="true" hidden="false"/>
    </xf>
    <xf numFmtId="165" fontId="11" fillId="5"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left" vertical="center" textRotation="0" wrapText="false" indent="1" shrinkToFit="false"/>
      <protection locked="true" hidden="false"/>
    </xf>
    <xf numFmtId="164" fontId="8" fillId="6" borderId="1" xfId="0" applyFont="true" applyBorder="true" applyAlignment="true" applyProtection="false">
      <alignment horizontal="left" vertical="center" textRotation="0" wrapText="false" indent="1" shrinkToFit="false"/>
      <protection locked="true" hidden="false"/>
    </xf>
    <xf numFmtId="164" fontId="9" fillId="6" borderId="1" xfId="0" applyFont="true" applyBorder="true" applyAlignment="true" applyProtection="false">
      <alignment horizontal="left" vertical="center" textRotation="0" wrapText="false" indent="1"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5" fontId="10" fillId="6" borderId="1" xfId="0" applyFont="true" applyBorder="true" applyAlignment="true" applyProtection="false">
      <alignment horizontal="center" vertical="center" textRotation="0" wrapText="false" indent="0" shrinkToFit="false"/>
      <protection locked="true" hidden="false"/>
    </xf>
    <xf numFmtId="165" fontId="11" fillId="6"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left" vertical="center" textRotation="0" wrapText="false" indent="1" shrinkToFit="false"/>
      <protection locked="true" hidden="false"/>
    </xf>
    <xf numFmtId="164" fontId="14" fillId="6" borderId="1" xfId="0" applyFont="true" applyBorder="true" applyAlignment="true" applyProtection="false">
      <alignment horizontal="center" vertical="center" textRotation="0" wrapText="false" indent="0" shrinkToFit="false"/>
      <protection locked="true" hidden="false"/>
    </xf>
    <xf numFmtId="164" fontId="15" fillId="7" borderId="1" xfId="0" applyFont="true" applyBorder="true" applyAlignment="true" applyProtection="false">
      <alignment horizontal="left" vertical="center" textRotation="0" wrapText="false" indent="1" shrinkToFit="false"/>
      <protection locked="true" hidden="false"/>
    </xf>
    <xf numFmtId="164" fontId="15" fillId="7" borderId="1" xfId="0" applyFont="true" applyBorder="true" applyAlignment="true" applyProtection="false">
      <alignment horizontal="center" vertical="center" textRotation="0" wrapText="false" indent="0" shrinkToFit="false"/>
      <protection locked="true" hidden="false"/>
    </xf>
    <xf numFmtId="165" fontId="15" fillId="7" borderId="1" xfId="0" applyFont="true" applyBorder="true" applyAlignment="true" applyProtection="false">
      <alignment horizontal="center" vertical="center" textRotation="0" wrapText="false" indent="0" shrinkToFit="false"/>
      <protection locked="true" hidden="false"/>
    </xf>
    <xf numFmtId="164" fontId="16" fillId="8" borderId="2" xfId="0" applyFont="true" applyBorder="true" applyAlignment="true" applyProtection="false">
      <alignment horizontal="general" vertical="top" textRotation="0" wrapText="true" indent="1"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8" fillId="9" borderId="1" xfId="0" applyFont="true" applyBorder="true" applyAlignment="true" applyProtection="false">
      <alignment horizontal="left" vertical="center" textRotation="0" wrapText="false" indent="1" shrinkToFit="false"/>
      <protection locked="true" hidden="false"/>
    </xf>
    <xf numFmtId="164" fontId="9" fillId="9" borderId="1" xfId="0" applyFont="true" applyBorder="true" applyAlignment="true" applyProtection="false">
      <alignment horizontal="left" vertical="center" textRotation="0" wrapText="false" indent="1" shrinkToFit="false"/>
      <protection locked="true" hidden="false"/>
    </xf>
    <xf numFmtId="164" fontId="17" fillId="9" borderId="1"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true" applyAlignment="true" applyProtection="false">
      <alignment horizontal="left" vertical="center" textRotation="0" wrapText="false" indent="1" shrinkToFit="false"/>
      <protection locked="true" hidden="false"/>
    </xf>
    <xf numFmtId="164" fontId="19" fillId="2" borderId="0" xfId="0" applyFont="true" applyBorder="true" applyAlignment="true" applyProtection="false">
      <alignment horizontal="left" vertical="center" textRotation="0" wrapText="false" indent="1" shrinkToFit="false"/>
      <protection locked="true" hidden="false"/>
    </xf>
    <xf numFmtId="165" fontId="20" fillId="4" borderId="1" xfId="0" applyFont="true" applyBorder="true" applyAlignment="true" applyProtection="false">
      <alignment horizontal="center" vertical="center" textRotation="0" wrapText="false" indent="0" shrinkToFit="false"/>
      <protection locked="true" hidden="false"/>
    </xf>
    <xf numFmtId="165" fontId="20" fillId="5" borderId="1" xfId="0" applyFont="true" applyBorder="true" applyAlignment="true" applyProtection="false">
      <alignment horizontal="center" vertical="center" textRotation="0" wrapText="false" indent="0" shrinkToFit="false"/>
      <protection locked="true" hidden="false"/>
    </xf>
    <xf numFmtId="164" fontId="21" fillId="2" borderId="0" xfId="0" applyFont="true" applyBorder="true" applyAlignment="true" applyProtection="false">
      <alignment horizontal="left" vertical="center" textRotation="0" wrapText="false" indent="1"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true" applyProtection="false">
      <alignment horizontal="center" vertical="center" textRotation="0" wrapText="false" indent="0" shrinkToFit="false"/>
      <protection locked="true" hidden="false"/>
    </xf>
    <xf numFmtId="166" fontId="11" fillId="4" borderId="1" xfId="0" applyFont="true" applyBorder="true" applyAlignment="true" applyProtection="false">
      <alignment horizontal="center" vertical="center" textRotation="0" wrapText="false" indent="0" shrinkToFit="false"/>
      <protection locked="true" hidden="false"/>
    </xf>
    <xf numFmtId="166" fontId="10" fillId="5" borderId="1" xfId="0" applyFont="true" applyBorder="true" applyAlignment="true" applyProtection="false">
      <alignment horizontal="center" vertical="center" textRotation="0" wrapText="false" indent="0" shrinkToFit="false"/>
      <protection locked="true" hidden="false"/>
    </xf>
    <xf numFmtId="166" fontId="11" fillId="5" borderId="1" xfId="0" applyFont="true" applyBorder="true" applyAlignment="true" applyProtection="false">
      <alignment horizontal="center" vertical="center" textRotation="0" wrapText="false" indent="0" shrinkToFit="false"/>
      <protection locked="true" hidden="false"/>
    </xf>
    <xf numFmtId="164" fontId="6" fillId="7" borderId="1" xfId="0" applyFont="true" applyBorder="true" applyAlignment="true" applyProtection="false">
      <alignment horizontal="left" vertical="center" textRotation="0" wrapText="false" indent="1" shrinkToFit="false"/>
      <protection locked="true" hidden="false"/>
    </xf>
    <xf numFmtId="164" fontId="6" fillId="7" borderId="1" xfId="0" applyFont="true" applyBorder="true" applyAlignment="true" applyProtection="false">
      <alignment horizontal="center" vertical="center" textRotation="0" wrapText="false" indent="0" shrinkToFit="false"/>
      <protection locked="true" hidden="false"/>
    </xf>
    <xf numFmtId="166" fontId="6" fillId="7" borderId="1" xfId="0" applyFont="true" applyBorder="true" applyAlignment="true" applyProtection="false">
      <alignment horizontal="center" vertical="center" textRotation="0" wrapText="false" indent="0" shrinkToFit="false"/>
      <protection locked="true" hidden="false"/>
    </xf>
    <xf numFmtId="166" fontId="10"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21" fillId="2" borderId="0" xfId="0" applyFont="true" applyBorder="false" applyAlignment="true" applyProtection="false">
      <alignment horizontal="left" vertical="center" textRotation="0" wrapText="false" indent="1" shrinkToFit="false"/>
      <protection locked="true" hidden="false"/>
    </xf>
    <xf numFmtId="164" fontId="0" fillId="0" borderId="0" xfId="0" applyFont="false" applyBorder="false" applyAlignment="true" applyProtection="false">
      <alignment horizontal="left" vertical="center" textRotation="0" wrapText="true" indent="1" shrinkToFit="false"/>
      <protection locked="true" hidden="false"/>
    </xf>
    <xf numFmtId="164" fontId="6" fillId="3" borderId="0" xfId="0" applyFont="true" applyBorder="false" applyAlignment="true" applyProtection="false">
      <alignment horizontal="left" vertical="center" textRotation="0" wrapText="true" indent="1" shrinkToFit="false"/>
      <protection locked="true" hidden="false"/>
    </xf>
    <xf numFmtId="164" fontId="22" fillId="8" borderId="0" xfId="0" applyFont="true" applyBorder="false" applyAlignment="true" applyProtection="false">
      <alignment horizontal="left" vertical="center" textRotation="0" wrapText="true" indent="1" shrinkToFit="false"/>
      <protection locked="true" hidden="false"/>
    </xf>
    <xf numFmtId="164" fontId="9" fillId="5" borderId="0" xfId="0" applyFont="true" applyBorder="false" applyAlignment="true" applyProtection="false">
      <alignment horizontal="left" vertical="center" textRotation="0" wrapText="true" indent="1" shrinkToFit="false"/>
      <protection locked="true" hidden="false"/>
    </xf>
    <xf numFmtId="164" fontId="9" fillId="4" borderId="0" xfId="0" applyFont="true" applyBorder="false" applyAlignment="true" applyProtection="false">
      <alignment horizontal="left" vertical="center" textRotation="0" wrapText="true" indent="1" shrinkToFit="false"/>
      <protection locked="true" hidden="false"/>
    </xf>
    <xf numFmtId="164" fontId="22" fillId="4" borderId="0" xfId="0" applyFont="true" applyBorder="false" applyAlignment="true" applyProtection="false">
      <alignment horizontal="left" vertical="center" textRotation="0" wrapText="true" indent="1" shrinkToFit="false"/>
      <protection locked="true" hidden="false"/>
    </xf>
    <xf numFmtId="164" fontId="22" fillId="5" borderId="0" xfId="0" applyFont="true" applyBorder="false" applyAlignment="true" applyProtection="false">
      <alignment horizontal="left"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17346"/>
      <rgbColor rgb="FFBBBBBB"/>
      <rgbColor rgb="FF888888"/>
      <rgbColor rgb="FF9999FF"/>
      <rgbColor rgb="FF993366"/>
      <rgbColor rgb="FFFFF2CC"/>
      <rgbColor rgb="FFD6E4F0"/>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003366"/>
      <rgbColor rgb="FF339966"/>
      <rgbColor rgb="FF003300"/>
      <rgbColor rgb="FF444444"/>
      <rgbColor rgb="FF993300"/>
      <rgbColor rgb="FF993366"/>
      <rgbColor rgb="FF2E4272"/>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22"/>
    <col collapsed="false" customWidth="true" hidden="false" outlineLevel="0" max="7" min="4" style="1" width="18"/>
    <col collapsed="false" customWidth="true" hidden="false" outlineLevel="0" max="8" min="8" style="1" width="30"/>
    <col collapsed="false" customWidth="true" hidden="false" outlineLevel="0" max="9" min="9" style="1" width="2"/>
  </cols>
  <sheetData>
    <row r="1" customFormat="false" ht="7.5" hidden="false" customHeight="true" outlineLevel="0" collapsed="false"/>
    <row r="2" customFormat="false" ht="36" hidden="false" customHeight="true" outlineLevel="0" collapsed="false">
      <c r="B2" s="2" t="s">
        <v>0</v>
      </c>
      <c r="C2" s="2"/>
      <c r="D2" s="2"/>
      <c r="E2" s="2"/>
      <c r="F2" s="2"/>
      <c r="G2" s="2"/>
      <c r="H2" s="2"/>
    </row>
    <row r="3" customFormat="false" ht="19.5" hidden="false" customHeight="true" outlineLevel="0" collapsed="false">
      <c r="B3" s="3" t="s">
        <v>1</v>
      </c>
      <c r="C3" s="3"/>
      <c r="D3" s="3"/>
      <c r="E3" s="3"/>
      <c r="F3" s="3"/>
      <c r="G3" s="3"/>
      <c r="H3" s="3"/>
    </row>
    <row r="4" customFormat="false" ht="15.75" hidden="false" customHeight="true" outlineLevel="0" collapsed="false">
      <c r="B4" s="4"/>
      <c r="C4" s="4"/>
      <c r="D4" s="4"/>
      <c r="E4" s="4"/>
      <c r="F4" s="4"/>
      <c r="G4" s="4"/>
      <c r="H4" s="4"/>
    </row>
    <row r="5" customFormat="false" ht="7.5" hidden="false" customHeight="true" outlineLevel="0" collapsed="false"/>
    <row r="6" customFormat="false" ht="13.5" hidden="false" customHeight="true" outlineLevel="0" collapsed="false"/>
    <row r="7" customFormat="false" ht="27.75" hidden="false" customHeight="true" outlineLevel="0" collapsed="false">
      <c r="B7" s="5" t="s">
        <v>2</v>
      </c>
      <c r="C7" s="5"/>
      <c r="D7" s="5"/>
      <c r="E7" s="5"/>
      <c r="F7" s="5"/>
      <c r="G7" s="5"/>
      <c r="H7" s="5"/>
    </row>
    <row r="8" customFormat="false" ht="36" hidden="false" customHeight="true" outlineLevel="0" collapsed="false">
      <c r="B8" s="6" t="s">
        <v>3</v>
      </c>
      <c r="C8" s="6" t="s">
        <v>4</v>
      </c>
      <c r="D8" s="6" t="s">
        <v>5</v>
      </c>
      <c r="E8" s="6" t="s">
        <v>6</v>
      </c>
      <c r="F8" s="6" t="s">
        <v>7</v>
      </c>
      <c r="G8" s="6" t="s">
        <v>8</v>
      </c>
      <c r="H8" s="6" t="s">
        <v>9</v>
      </c>
    </row>
    <row r="9" customFormat="false" ht="21.75" hidden="false" customHeight="true" outlineLevel="0" collapsed="false">
      <c r="B9" s="7" t="s">
        <v>10</v>
      </c>
      <c r="C9" s="8" t="s">
        <v>11</v>
      </c>
      <c r="D9" s="9" t="n">
        <v>20902.01</v>
      </c>
      <c r="E9" s="10" t="n">
        <f aca="false">D9/2</f>
        <v>10451.005</v>
      </c>
      <c r="F9" s="9" t="n">
        <f aca="false">E9</f>
        <v>10451.005</v>
      </c>
      <c r="G9" s="11" t="n">
        <f aca="false">F9</f>
        <v>10451.005</v>
      </c>
      <c r="H9" s="12" t="s">
        <v>12</v>
      </c>
    </row>
    <row r="10" customFormat="false" ht="21.75" hidden="false" customHeight="true" outlineLevel="0" collapsed="false">
      <c r="B10" s="13" t="s">
        <v>13</v>
      </c>
      <c r="C10" s="14" t="s">
        <v>14</v>
      </c>
      <c r="D10" s="15" t="n">
        <v>8571.72</v>
      </c>
      <c r="E10" s="16" t="n">
        <f aca="false">D10/2</f>
        <v>4285.86</v>
      </c>
      <c r="F10" s="15" t="n">
        <f aca="false">E10</f>
        <v>4285.86</v>
      </c>
      <c r="G10" s="17" t="n">
        <f aca="false">F10</f>
        <v>4285.86</v>
      </c>
      <c r="H10" s="18" t="s">
        <v>15</v>
      </c>
    </row>
    <row r="11" customFormat="false" ht="21.75" hidden="false" customHeight="true" outlineLevel="0" collapsed="false">
      <c r="B11" s="7" t="s">
        <v>16</v>
      </c>
      <c r="C11" s="8" t="s">
        <v>17</v>
      </c>
      <c r="D11" s="9" t="n">
        <v>35000</v>
      </c>
      <c r="E11" s="10" t="n">
        <f aca="false">D11/2</f>
        <v>17500</v>
      </c>
      <c r="F11" s="9" t="n">
        <v>17500</v>
      </c>
      <c r="G11" s="11" t="n">
        <f aca="false">F11</f>
        <v>17500</v>
      </c>
      <c r="H11" s="12" t="s">
        <v>18</v>
      </c>
    </row>
    <row r="12" customFormat="false" ht="21.75" hidden="false" customHeight="true" outlineLevel="0" collapsed="false">
      <c r="B12" s="19" t="s">
        <v>19</v>
      </c>
      <c r="C12" s="20" t="s">
        <v>20</v>
      </c>
      <c r="D12" s="21" t="s">
        <v>21</v>
      </c>
      <c r="E12" s="21" t="s">
        <v>21</v>
      </c>
      <c r="F12" s="22" t="n">
        <v>1800</v>
      </c>
      <c r="G12" s="23" t="n">
        <f aca="false">F12</f>
        <v>1800</v>
      </c>
      <c r="H12" s="24" t="s">
        <v>22</v>
      </c>
    </row>
    <row r="13" customFormat="false" ht="21.75" hidden="false" customHeight="true" outlineLevel="0" collapsed="false">
      <c r="B13" s="19" t="s">
        <v>23</v>
      </c>
      <c r="C13" s="20" t="s">
        <v>20</v>
      </c>
      <c r="D13" s="21" t="s">
        <v>21</v>
      </c>
      <c r="E13" s="21" t="s">
        <v>21</v>
      </c>
      <c r="F13" s="22" t="n">
        <v>828</v>
      </c>
      <c r="G13" s="23" t="n">
        <f aca="false">F13</f>
        <v>828</v>
      </c>
      <c r="H13" s="24" t="s">
        <v>24</v>
      </c>
    </row>
    <row r="14" customFormat="false" ht="21.75" hidden="false" customHeight="true" outlineLevel="0" collapsed="false">
      <c r="B14" s="19" t="s">
        <v>25</v>
      </c>
      <c r="C14" s="20" t="s">
        <v>20</v>
      </c>
      <c r="D14" s="21" t="s">
        <v>21</v>
      </c>
      <c r="E14" s="21" t="s">
        <v>21</v>
      </c>
      <c r="F14" s="25" t="s">
        <v>26</v>
      </c>
      <c r="G14" s="23" t="str">
        <f aca="false">IF(F14="","",F14)</f>
        <v>TBD</v>
      </c>
      <c r="H14" s="24" t="s">
        <v>27</v>
      </c>
    </row>
    <row r="15" customFormat="false" ht="25.5" hidden="false" customHeight="true" outlineLevel="0" collapsed="false">
      <c r="B15" s="26" t="s">
        <v>28</v>
      </c>
      <c r="C15" s="27"/>
      <c r="D15" s="28" t="n">
        <f aca="false">SUM(D9:D14)</f>
        <v>64473.73</v>
      </c>
      <c r="E15" s="28" t="n">
        <f aca="false">SUM(E9:E14)</f>
        <v>32236.865</v>
      </c>
      <c r="F15" s="27"/>
      <c r="G15" s="28" t="n">
        <f aca="false">SUMIF(G9:G14,"&lt;&gt;",G9:G14)</f>
        <v>34864.865</v>
      </c>
      <c r="H15" s="27" t="s">
        <v>29</v>
      </c>
    </row>
    <row r="16" customFormat="false" ht="7.5" hidden="false" customHeight="true" outlineLevel="0" collapsed="false"/>
    <row r="17" customFormat="false" ht="48" hidden="false" customHeight="true" outlineLevel="0" collapsed="false">
      <c r="B17" s="29" t="s">
        <v>30</v>
      </c>
      <c r="C17" s="29"/>
      <c r="D17" s="29"/>
      <c r="E17" s="29"/>
      <c r="F17" s="29"/>
      <c r="G17" s="29"/>
      <c r="H17" s="29"/>
    </row>
    <row r="19" customFormat="false" ht="7.5" hidden="false" customHeight="true" outlineLevel="0" collapsed="false"/>
    <row r="20" customFormat="false" ht="24" hidden="false" customHeight="true" outlineLevel="0" collapsed="false">
      <c r="B20" s="5" t="s">
        <v>31</v>
      </c>
      <c r="C20" s="5"/>
      <c r="D20" s="5"/>
      <c r="E20" s="5"/>
      <c r="F20" s="5"/>
      <c r="G20" s="5"/>
      <c r="H20" s="5"/>
    </row>
    <row r="21" customFormat="false" ht="19.5" hidden="false" customHeight="true" outlineLevel="0" collapsed="false">
      <c r="B21" s="30" t="s">
        <v>4</v>
      </c>
      <c r="C21" s="30" t="s">
        <v>32</v>
      </c>
      <c r="D21" s="30" t="s">
        <v>33</v>
      </c>
      <c r="E21" s="30" t="s">
        <v>34</v>
      </c>
      <c r="F21" s="30" t="s">
        <v>35</v>
      </c>
      <c r="G21" s="30"/>
      <c r="H21" s="30"/>
    </row>
    <row r="22" customFormat="false" ht="18" hidden="false" customHeight="true" outlineLevel="0" collapsed="false">
      <c r="B22" s="7" t="s">
        <v>11</v>
      </c>
      <c r="C22" s="9" t="n">
        <v>14944.44</v>
      </c>
      <c r="D22" s="9" t="n">
        <v>5957.57</v>
      </c>
      <c r="E22" s="9" t="n">
        <v>20902.01</v>
      </c>
      <c r="F22" s="10" t="n">
        <f aca="false">E22/2</f>
        <v>10451.005</v>
      </c>
      <c r="G22" s="31"/>
      <c r="H22" s="31"/>
    </row>
    <row r="23" customFormat="false" ht="18" hidden="false" customHeight="true" outlineLevel="0" collapsed="false">
      <c r="B23" s="13" t="s">
        <v>36</v>
      </c>
      <c r="C23" s="15" t="n">
        <v>7673.67</v>
      </c>
      <c r="D23" s="15" t="n">
        <v>24242.25</v>
      </c>
      <c r="E23" s="15" t="n">
        <v>31915.92</v>
      </c>
      <c r="F23" s="16" t="n">
        <f aca="false">E23/2</f>
        <v>15957.96</v>
      </c>
      <c r="G23" s="32"/>
      <c r="H23" s="32"/>
    </row>
    <row r="24" customFormat="false" ht="18" hidden="false" customHeight="true" outlineLevel="0" collapsed="false">
      <c r="B24" s="7" t="s">
        <v>37</v>
      </c>
      <c r="C24" s="9" t="n">
        <v>5000</v>
      </c>
      <c r="D24" s="9" t="n">
        <v>30000</v>
      </c>
      <c r="E24" s="9" t="n">
        <v>35000</v>
      </c>
      <c r="F24" s="10" t="n">
        <f aca="false">E24/2</f>
        <v>17500</v>
      </c>
      <c r="G24" s="31"/>
      <c r="H24" s="31"/>
    </row>
    <row r="25" customFormat="false" ht="18" hidden="false" customHeight="true" outlineLevel="0" collapsed="false">
      <c r="B25" s="13" t="s">
        <v>38</v>
      </c>
      <c r="C25" s="15" t="n">
        <v>39454.35</v>
      </c>
      <c r="D25" s="15" t="n">
        <v>33646.55</v>
      </c>
      <c r="E25" s="15" t="n">
        <v>73100.9</v>
      </c>
      <c r="F25" s="16" t="n">
        <f aca="false">E25/2</f>
        <v>36550.45</v>
      </c>
      <c r="G25" s="32"/>
      <c r="H25" s="32"/>
    </row>
    <row r="26" customFormat="false" ht="18" hidden="false" customHeight="true" outlineLevel="0" collapsed="false">
      <c r="B26" s="7" t="s">
        <v>14</v>
      </c>
      <c r="C26" s="9" t="n">
        <v>3500</v>
      </c>
      <c r="D26" s="9" t="n">
        <v>5071.5</v>
      </c>
      <c r="E26" s="9" t="n">
        <v>8571.5</v>
      </c>
      <c r="F26" s="10" t="n">
        <f aca="false">E26/2</f>
        <v>4285.75</v>
      </c>
      <c r="G26" s="31"/>
      <c r="H26" s="31"/>
    </row>
    <row r="29" customFormat="false" ht="24" hidden="false" customHeight="true" outlineLevel="0" collapsed="false">
      <c r="B29" s="5" t="s">
        <v>39</v>
      </c>
      <c r="C29" s="5"/>
      <c r="D29" s="5"/>
      <c r="E29" s="5"/>
      <c r="F29" s="5"/>
      <c r="G29" s="5"/>
      <c r="H29" s="5"/>
    </row>
    <row r="30" customFormat="false" ht="19.5" hidden="false" customHeight="true" outlineLevel="0" collapsed="false">
      <c r="B30" s="30" t="s">
        <v>3</v>
      </c>
      <c r="C30" s="30" t="s">
        <v>40</v>
      </c>
      <c r="D30" s="30" t="s">
        <v>41</v>
      </c>
      <c r="E30" s="30" t="s">
        <v>42</v>
      </c>
      <c r="F30" s="30" t="s">
        <v>9</v>
      </c>
      <c r="G30" s="30"/>
      <c r="H30" s="30"/>
    </row>
    <row r="31" customFormat="false" ht="18" hidden="false" customHeight="true" outlineLevel="0" collapsed="false">
      <c r="B31" s="7" t="s">
        <v>19</v>
      </c>
      <c r="C31" s="8" t="s">
        <v>43</v>
      </c>
      <c r="D31" s="9" t="n">
        <v>150</v>
      </c>
      <c r="E31" s="9" t="n">
        <v>1800</v>
      </c>
      <c r="F31" s="33" t="s">
        <v>44</v>
      </c>
      <c r="G31" s="8"/>
      <c r="H31" s="33"/>
    </row>
    <row r="32" customFormat="false" ht="18" hidden="false" customHeight="true" outlineLevel="0" collapsed="false">
      <c r="B32" s="13" t="s">
        <v>10</v>
      </c>
      <c r="C32" s="14" t="s">
        <v>45</v>
      </c>
      <c r="D32" s="15" t="n">
        <v>871</v>
      </c>
      <c r="E32" s="15" t="n">
        <v>10451</v>
      </c>
      <c r="F32" s="34" t="s">
        <v>46</v>
      </c>
      <c r="G32" s="14"/>
      <c r="H32" s="34"/>
    </row>
    <row r="33" customFormat="false" ht="18" hidden="false" customHeight="true" outlineLevel="0" collapsed="false">
      <c r="B33" s="7" t="s">
        <v>23</v>
      </c>
      <c r="C33" s="8" t="s">
        <v>47</v>
      </c>
      <c r="D33" s="9" t="n">
        <v>69</v>
      </c>
      <c r="E33" s="9" t="n">
        <v>828</v>
      </c>
      <c r="F33" s="33" t="s">
        <v>48</v>
      </c>
      <c r="G33" s="8"/>
      <c r="H33" s="33"/>
    </row>
    <row r="34" customFormat="false" ht="18" hidden="false" customHeight="true" outlineLevel="0" collapsed="false">
      <c r="B34" s="13" t="s">
        <v>13</v>
      </c>
      <c r="C34" s="14" t="s">
        <v>49</v>
      </c>
      <c r="D34" s="15" t="n">
        <v>357</v>
      </c>
      <c r="E34" s="15" t="n">
        <v>4286</v>
      </c>
      <c r="F34" s="34" t="s">
        <v>50</v>
      </c>
      <c r="G34" s="14"/>
      <c r="H34" s="34"/>
    </row>
    <row r="35" customFormat="false" ht="18" hidden="false" customHeight="true" outlineLevel="0" collapsed="false">
      <c r="B35" s="7" t="s">
        <v>51</v>
      </c>
      <c r="C35" s="8" t="s">
        <v>52</v>
      </c>
      <c r="D35" s="9" t="n">
        <v>1458</v>
      </c>
      <c r="E35" s="9" t="n">
        <v>17500</v>
      </c>
      <c r="F35" s="33" t="s">
        <v>53</v>
      </c>
      <c r="G35" s="8"/>
      <c r="H35" s="33"/>
    </row>
    <row r="36" customFormat="false" ht="18" hidden="false" customHeight="true" outlineLevel="0" collapsed="false">
      <c r="B36" s="35" t="s">
        <v>25</v>
      </c>
      <c r="C36" s="36" t="s">
        <v>54</v>
      </c>
      <c r="D36" s="37" t="s">
        <v>26</v>
      </c>
      <c r="E36" s="37" t="s">
        <v>26</v>
      </c>
      <c r="F36" s="38" t="s">
        <v>55</v>
      </c>
      <c r="G36" s="36"/>
      <c r="H36" s="38"/>
    </row>
    <row r="38" customFormat="false" ht="15" hidden="false" customHeight="true" outlineLevel="0" collapsed="false">
      <c r="B38" s="39" t="s">
        <v>56</v>
      </c>
      <c r="C38" s="39"/>
      <c r="D38" s="39"/>
      <c r="E38" s="39"/>
      <c r="F38" s="39"/>
      <c r="G38" s="39"/>
      <c r="H38" s="39"/>
    </row>
  </sheetData>
  <mergeCells count="8">
    <mergeCell ref="B2:H2"/>
    <mergeCell ref="B3:H3"/>
    <mergeCell ref="B4:H4"/>
    <mergeCell ref="B7:H7"/>
    <mergeCell ref="B17:H17"/>
    <mergeCell ref="B20:H20"/>
    <mergeCell ref="B29:H29"/>
    <mergeCell ref="B38:H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3" min="3" style="1" width="18"/>
    <col collapsed="false" customWidth="true" hidden="false" outlineLevel="0" max="6" min="4" style="1" width="22"/>
    <col collapsed="false" customWidth="true" hidden="false" outlineLevel="0" max="7" min="7" style="1" width="16"/>
    <col collapsed="false" customWidth="true" hidden="false" outlineLevel="0" max="8" min="8" style="1" width="2"/>
  </cols>
  <sheetData>
    <row r="1" customFormat="false" ht="7.5" hidden="false" customHeight="true" outlineLevel="0" collapsed="false"/>
    <row r="2" customFormat="false" ht="31.5" hidden="false" customHeight="true" outlineLevel="0" collapsed="false">
      <c r="B2" s="40" t="s">
        <v>57</v>
      </c>
      <c r="C2" s="40"/>
      <c r="D2" s="40"/>
      <c r="E2" s="40"/>
      <c r="F2" s="40"/>
      <c r="G2" s="40"/>
    </row>
    <row r="3" customFormat="false" ht="7.5" hidden="false" customHeight="true" outlineLevel="0" collapsed="false"/>
    <row r="4" customFormat="false" ht="25.5" hidden="false" customHeight="true" outlineLevel="0" collapsed="false">
      <c r="B4" s="6" t="s">
        <v>58</v>
      </c>
      <c r="C4" s="6" t="s">
        <v>59</v>
      </c>
      <c r="D4" s="6" t="s">
        <v>60</v>
      </c>
      <c r="E4" s="6" t="s">
        <v>61</v>
      </c>
      <c r="F4" s="6" t="s">
        <v>62</v>
      </c>
      <c r="G4" s="6" t="s">
        <v>63</v>
      </c>
    </row>
    <row r="5" customFormat="false" ht="18" hidden="false" customHeight="true" outlineLevel="0" collapsed="false">
      <c r="B5" s="7" t="s">
        <v>64</v>
      </c>
      <c r="C5" s="9" t="n">
        <v>1200</v>
      </c>
      <c r="D5" s="9" t="n">
        <v>5000</v>
      </c>
      <c r="E5" s="41"/>
      <c r="F5" s="9" t="n">
        <v>2173</v>
      </c>
      <c r="G5" s="9" t="n">
        <v>237</v>
      </c>
    </row>
    <row r="6" customFormat="false" ht="18" hidden="false" customHeight="true" outlineLevel="0" collapsed="false">
      <c r="B6" s="13" t="s">
        <v>65</v>
      </c>
      <c r="C6" s="15" t="n">
        <v>1200</v>
      </c>
      <c r="D6" s="42"/>
      <c r="E6" s="42"/>
      <c r="F6" s="15" t="n">
        <v>5654.14</v>
      </c>
      <c r="G6" s="15" t="n">
        <v>237</v>
      </c>
    </row>
    <row r="7" customFormat="false" ht="18" hidden="false" customHeight="true" outlineLevel="0" collapsed="false">
      <c r="B7" s="7" t="s">
        <v>66</v>
      </c>
      <c r="C7" s="9" t="n">
        <v>1200</v>
      </c>
      <c r="D7" s="41"/>
      <c r="E7" s="41"/>
      <c r="F7" s="9" t="n">
        <v>1489.11</v>
      </c>
      <c r="G7" s="9" t="n">
        <v>237</v>
      </c>
    </row>
    <row r="8" customFormat="false" ht="18" hidden="false" customHeight="true" outlineLevel="0" collapsed="false">
      <c r="B8" s="13" t="s">
        <v>67</v>
      </c>
      <c r="C8" s="15" t="n">
        <v>1200</v>
      </c>
      <c r="D8" s="42"/>
      <c r="E8" s="42"/>
      <c r="F8" s="15" t="n">
        <v>1457.13</v>
      </c>
      <c r="G8" s="15" t="n">
        <v>237</v>
      </c>
    </row>
    <row r="9" customFormat="false" ht="18" hidden="false" customHeight="true" outlineLevel="0" collapsed="false">
      <c r="B9" s="7" t="s">
        <v>68</v>
      </c>
      <c r="C9" s="9" t="n">
        <v>1200</v>
      </c>
      <c r="D9" s="41"/>
      <c r="E9" s="41"/>
      <c r="F9" s="9" t="n">
        <v>1643.64</v>
      </c>
      <c r="G9" s="9" t="n">
        <v>237</v>
      </c>
    </row>
    <row r="10" customFormat="false" ht="18" hidden="false" customHeight="true" outlineLevel="0" collapsed="false">
      <c r="B10" s="13" t="s">
        <v>69</v>
      </c>
      <c r="C10" s="15" t="n">
        <v>1200</v>
      </c>
      <c r="D10" s="15" t="n">
        <v>500</v>
      </c>
      <c r="E10" s="42"/>
      <c r="F10" s="15" t="n">
        <v>917.34</v>
      </c>
      <c r="G10" s="15" t="n">
        <v>237</v>
      </c>
    </row>
    <row r="11" customFormat="false" ht="18" hidden="false" customHeight="true" outlineLevel="0" collapsed="false">
      <c r="B11" s="7" t="s">
        <v>70</v>
      </c>
      <c r="C11" s="9" t="n">
        <v>7500</v>
      </c>
      <c r="D11" s="41"/>
      <c r="E11" s="41"/>
      <c r="F11" s="9" t="n">
        <v>3881.62</v>
      </c>
      <c r="G11" s="9" t="n">
        <v>702</v>
      </c>
    </row>
    <row r="12" customFormat="false" ht="18" hidden="false" customHeight="true" outlineLevel="0" collapsed="false">
      <c r="B12" s="13" t="s">
        <v>71</v>
      </c>
      <c r="C12" s="42"/>
      <c r="D12" s="15" t="n">
        <v>846.67</v>
      </c>
      <c r="E12" s="42"/>
      <c r="F12" s="15" t="n">
        <v>1217.16</v>
      </c>
      <c r="G12" s="15" t="n">
        <v>380.86</v>
      </c>
    </row>
    <row r="13" customFormat="false" ht="18" hidden="false" customHeight="true" outlineLevel="0" collapsed="false">
      <c r="B13" s="7" t="s">
        <v>72</v>
      </c>
      <c r="C13" s="41"/>
      <c r="D13" s="9" t="n">
        <v>20</v>
      </c>
      <c r="E13" s="41"/>
      <c r="F13" s="9" t="n">
        <v>8369.91</v>
      </c>
      <c r="G13" s="9" t="n">
        <v>236.14</v>
      </c>
    </row>
    <row r="14" customFormat="false" ht="18" hidden="false" customHeight="true" outlineLevel="0" collapsed="false">
      <c r="B14" s="13" t="s">
        <v>73</v>
      </c>
      <c r="C14" s="42"/>
      <c r="D14" s="15" t="n">
        <v>220</v>
      </c>
      <c r="E14" s="42"/>
      <c r="F14" s="15" t="n">
        <v>3456.38</v>
      </c>
      <c r="G14" s="15" t="n">
        <v>380</v>
      </c>
    </row>
    <row r="15" customFormat="false" ht="18" hidden="false" customHeight="true" outlineLevel="0" collapsed="false">
      <c r="B15" s="7" t="s">
        <v>74</v>
      </c>
      <c r="C15" s="41"/>
      <c r="D15" s="9" t="n">
        <v>892</v>
      </c>
      <c r="E15" s="41"/>
      <c r="F15" s="9" t="n">
        <v>2859.39</v>
      </c>
      <c r="G15" s="9" t="n">
        <v>380</v>
      </c>
    </row>
    <row r="16" customFormat="false" ht="18" hidden="false" customHeight="true" outlineLevel="0" collapsed="false">
      <c r="B16" s="13" t="s">
        <v>75</v>
      </c>
      <c r="C16" s="15" t="n">
        <v>244.44</v>
      </c>
      <c r="D16" s="15" t="n">
        <v>195</v>
      </c>
      <c r="E16" s="15" t="n">
        <v>5000</v>
      </c>
      <c r="F16" s="15" t="n">
        <v>6535.53</v>
      </c>
      <c r="G16" s="42"/>
    </row>
    <row r="17" customFormat="false" ht="18" hidden="false" customHeight="true" outlineLevel="0" collapsed="false">
      <c r="B17" s="7" t="s">
        <v>76</v>
      </c>
      <c r="C17" s="41"/>
      <c r="D17" s="9" t="n">
        <v>8916.25</v>
      </c>
      <c r="E17" s="9" t="n">
        <v>5000</v>
      </c>
      <c r="F17" s="9" t="n">
        <v>4273.81</v>
      </c>
      <c r="G17" s="9" t="n">
        <v>255</v>
      </c>
    </row>
    <row r="18" customFormat="false" ht="18" hidden="false" customHeight="true" outlineLevel="0" collapsed="false">
      <c r="B18" s="13" t="s">
        <v>77</v>
      </c>
      <c r="C18" s="42"/>
      <c r="D18" s="15" t="n">
        <v>175</v>
      </c>
      <c r="E18" s="15" t="n">
        <v>5000</v>
      </c>
      <c r="F18" s="15" t="n">
        <v>7263.25</v>
      </c>
      <c r="G18" s="15" t="n">
        <v>255</v>
      </c>
    </row>
    <row r="19" customFormat="false" ht="18" hidden="false" customHeight="true" outlineLevel="0" collapsed="false">
      <c r="B19" s="7" t="s">
        <v>78</v>
      </c>
      <c r="C19" s="41"/>
      <c r="D19" s="9" t="n">
        <v>781</v>
      </c>
      <c r="E19" s="41"/>
      <c r="F19" s="9" t="n">
        <v>1022.65</v>
      </c>
      <c r="G19" s="9" t="n">
        <v>292</v>
      </c>
    </row>
    <row r="20" customFormat="false" ht="18" hidden="false" customHeight="true" outlineLevel="0" collapsed="false">
      <c r="B20" s="13" t="s">
        <v>79</v>
      </c>
      <c r="C20" s="15" t="n">
        <v>77.57</v>
      </c>
      <c r="D20" s="15" t="n">
        <v>1520</v>
      </c>
      <c r="E20" s="42"/>
      <c r="F20" s="15" t="n">
        <v>1949.68</v>
      </c>
      <c r="G20" s="15" t="n">
        <v>441.5</v>
      </c>
    </row>
    <row r="21" customFormat="false" ht="18" hidden="false" customHeight="true" outlineLevel="0" collapsed="false">
      <c r="B21" s="7" t="s">
        <v>80</v>
      </c>
      <c r="C21" s="41"/>
      <c r="D21" s="9" t="n">
        <v>1520</v>
      </c>
      <c r="E21" s="9" t="n">
        <v>5000</v>
      </c>
      <c r="F21" s="9" t="n">
        <v>3258.68</v>
      </c>
      <c r="G21" s="9" t="n">
        <v>441.5</v>
      </c>
    </row>
    <row r="22" customFormat="false" ht="18" hidden="false" customHeight="true" outlineLevel="0" collapsed="false">
      <c r="B22" s="13" t="s">
        <v>81</v>
      </c>
      <c r="C22" s="42"/>
      <c r="D22" s="15" t="n">
        <v>1520</v>
      </c>
      <c r="E22" s="42"/>
      <c r="F22" s="15" t="n">
        <v>2367.58</v>
      </c>
      <c r="G22" s="15" t="n">
        <v>474.5</v>
      </c>
    </row>
    <row r="23" customFormat="false" ht="18" hidden="false" customHeight="true" outlineLevel="0" collapsed="false">
      <c r="B23" s="7" t="s">
        <v>82</v>
      </c>
      <c r="C23" s="9" t="n">
        <v>5880</v>
      </c>
      <c r="D23" s="9" t="n">
        <v>1520</v>
      </c>
      <c r="E23" s="41"/>
      <c r="F23" s="9" t="n">
        <v>5419.99</v>
      </c>
      <c r="G23" s="9" t="n">
        <v>325</v>
      </c>
    </row>
    <row r="24" customFormat="false" ht="18" hidden="false" customHeight="true" outlineLevel="0" collapsed="false">
      <c r="B24" s="13" t="s">
        <v>83</v>
      </c>
      <c r="C24" s="42"/>
      <c r="D24" s="15" t="n">
        <v>1520</v>
      </c>
      <c r="E24" s="15" t="n">
        <v>5000</v>
      </c>
      <c r="F24" s="15" t="n">
        <v>1182.49</v>
      </c>
      <c r="G24" s="15" t="n">
        <v>474.5</v>
      </c>
    </row>
    <row r="25" customFormat="false" ht="18" hidden="false" customHeight="true" outlineLevel="0" collapsed="false">
      <c r="B25" s="7" t="s">
        <v>84</v>
      </c>
      <c r="C25" s="41"/>
      <c r="D25" s="9" t="n">
        <v>1715</v>
      </c>
      <c r="E25" s="41"/>
      <c r="F25" s="9" t="n">
        <v>1338.47</v>
      </c>
      <c r="G25" s="9" t="n">
        <v>474.5</v>
      </c>
    </row>
    <row r="26" customFormat="false" ht="18" hidden="false" customHeight="true" outlineLevel="0" collapsed="false">
      <c r="B26" s="13" t="s">
        <v>85</v>
      </c>
      <c r="C26" s="42"/>
      <c r="D26" s="15" t="n">
        <v>1520</v>
      </c>
      <c r="E26" s="42"/>
      <c r="F26" s="15" t="n">
        <v>1350.49</v>
      </c>
      <c r="G26" s="15" t="n">
        <v>325</v>
      </c>
    </row>
    <row r="27" customFormat="false" ht="18" hidden="false" customHeight="true" outlineLevel="0" collapsed="false">
      <c r="B27" s="7" t="s">
        <v>86</v>
      </c>
      <c r="C27" s="41"/>
      <c r="D27" s="9" t="n">
        <v>1520</v>
      </c>
      <c r="E27" s="41"/>
      <c r="F27" s="9" t="n">
        <v>1831.99</v>
      </c>
      <c r="G27" s="9" t="n">
        <v>474.5</v>
      </c>
    </row>
    <row r="28" customFormat="false" ht="18" hidden="false" customHeight="true" outlineLevel="0" collapsed="false">
      <c r="B28" s="13" t="s">
        <v>87</v>
      </c>
      <c r="C28" s="42"/>
      <c r="D28" s="15" t="n">
        <v>2015</v>
      </c>
      <c r="E28" s="15" t="n">
        <v>10000</v>
      </c>
      <c r="F28" s="15" t="n">
        <v>2187.47</v>
      </c>
      <c r="G28" s="15" t="n">
        <v>933.5</v>
      </c>
    </row>
    <row r="29" customFormat="false" ht="21.75" hidden="false" customHeight="true" outlineLevel="0" collapsed="false">
      <c r="B29" s="26" t="s">
        <v>88</v>
      </c>
      <c r="C29" s="28" t="n">
        <f aca="false">SUM(C5:C28)</f>
        <v>20902.01</v>
      </c>
      <c r="D29" s="28" t="n">
        <f aca="false">SUM(D5:D28)</f>
        <v>31915.92</v>
      </c>
      <c r="E29" s="28" t="n">
        <f aca="false">SUM(E5:E28)</f>
        <v>35000</v>
      </c>
      <c r="F29" s="28" t="n">
        <f aca="false">SUM(F5:F28)</f>
        <v>73100.9</v>
      </c>
      <c r="G29" s="28" t="n">
        <f aca="false">SUM(G5:G28)</f>
        <v>8667.5</v>
      </c>
    </row>
  </sheetData>
  <mergeCells count="1">
    <mergeCell ref="B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18"/>
    <col collapsed="false" customWidth="true" hidden="false" outlineLevel="0" max="6" min="4" style="0" width="22"/>
    <col collapsed="false" customWidth="true" hidden="false" outlineLevel="0" max="7" min="7" style="0" width="16"/>
    <col collapsed="false" customWidth="true" hidden="false" outlineLevel="0" max="8" min="8" style="0" width="32"/>
    <col collapsed="false" customWidth="true" hidden="false" outlineLevel="0" max="9" min="9" style="0" width="2"/>
  </cols>
  <sheetData>
    <row r="1" customFormat="false" ht="7.5" hidden="false" customHeight="true" outlineLevel="0" collapsed="false"/>
    <row r="2" customFormat="false" ht="33.75" hidden="false" customHeight="true" outlineLevel="0" collapsed="false">
      <c r="B2" s="43" t="s">
        <v>89</v>
      </c>
      <c r="C2" s="43"/>
      <c r="D2" s="43"/>
      <c r="E2" s="43"/>
      <c r="F2" s="43"/>
      <c r="G2" s="43"/>
      <c r="H2" s="43"/>
    </row>
    <row r="3" customFormat="false" ht="19.5" hidden="false" customHeight="true" outlineLevel="0" collapsed="false">
      <c r="B3" s="3" t="s">
        <v>90</v>
      </c>
      <c r="C3" s="3"/>
      <c r="D3" s="3"/>
      <c r="E3" s="3"/>
      <c r="F3" s="3"/>
      <c r="G3" s="3"/>
      <c r="H3" s="3"/>
    </row>
    <row r="4" customFormat="false" ht="7.5" hidden="false" customHeight="true" outlineLevel="0" collapsed="false"/>
    <row r="5" customFormat="false" ht="25.5" hidden="false" customHeight="true" outlineLevel="0" collapsed="false">
      <c r="B5" s="5" t="s">
        <v>91</v>
      </c>
      <c r="C5" s="5"/>
      <c r="D5" s="5"/>
      <c r="E5" s="5"/>
      <c r="F5" s="5"/>
      <c r="G5" s="5"/>
      <c r="H5" s="5"/>
    </row>
    <row r="6" customFormat="false" ht="30" hidden="false" customHeight="true" outlineLevel="0" collapsed="false">
      <c r="B6" s="6" t="s">
        <v>92</v>
      </c>
      <c r="C6" s="6" t="s">
        <v>93</v>
      </c>
      <c r="D6" s="6" t="s">
        <v>94</v>
      </c>
      <c r="E6" s="6" t="s">
        <v>95</v>
      </c>
      <c r="F6" s="6" t="s">
        <v>96</v>
      </c>
      <c r="G6" s="44"/>
      <c r="H6" s="44"/>
    </row>
    <row r="7" customFormat="false" ht="21.75" hidden="false" customHeight="true" outlineLevel="0" collapsed="false">
      <c r="B7" s="8" t="s">
        <v>11</v>
      </c>
      <c r="C7" s="7" t="s">
        <v>10</v>
      </c>
      <c r="D7" s="45" t="n">
        <v>6709.72</v>
      </c>
      <c r="E7" s="46" t="n">
        <f aca="false">D7</f>
        <v>6709.72</v>
      </c>
      <c r="F7" s="8" t="s">
        <v>97</v>
      </c>
    </row>
    <row r="8" customFormat="false" ht="21.75" hidden="false" customHeight="true" outlineLevel="0" collapsed="false">
      <c r="B8" s="14" t="s">
        <v>14</v>
      </c>
      <c r="C8" s="13" t="s">
        <v>13</v>
      </c>
      <c r="D8" s="47" t="n">
        <v>6159.5</v>
      </c>
      <c r="E8" s="48" t="n">
        <f aca="false">D8</f>
        <v>6159.5</v>
      </c>
      <c r="F8" s="14" t="s">
        <v>98</v>
      </c>
    </row>
    <row r="9" customFormat="false" ht="21.75" hidden="false" customHeight="true" outlineLevel="0" collapsed="false">
      <c r="B9" s="8" t="s">
        <v>17</v>
      </c>
      <c r="C9" s="7" t="s">
        <v>99</v>
      </c>
      <c r="D9" s="45" t="n">
        <v>20000</v>
      </c>
      <c r="E9" s="46" t="n">
        <f aca="false">D9</f>
        <v>20000</v>
      </c>
      <c r="F9" s="8" t="s">
        <v>100</v>
      </c>
    </row>
    <row r="10" customFormat="false" ht="21.75" hidden="false" customHeight="true" outlineLevel="0" collapsed="false">
      <c r="B10" s="49" t="s">
        <v>101</v>
      </c>
      <c r="C10" s="50"/>
      <c r="D10" s="51" t="n">
        <f aca="false">SUM(D7:D9)</f>
        <v>32869.22</v>
      </c>
      <c r="E10" s="51" t="n">
        <f aca="false">SUM(E7:E9)</f>
        <v>32869.22</v>
      </c>
      <c r="F10" s="50"/>
      <c r="G10" s="50"/>
      <c r="H10" s="50"/>
    </row>
    <row r="11" customFormat="false" ht="9.75" hidden="false" customHeight="true" outlineLevel="0" collapsed="false"/>
    <row r="12" customFormat="false" ht="25.5" hidden="false" customHeight="true" outlineLevel="0" collapsed="false">
      <c r="B12" s="5" t="s">
        <v>102</v>
      </c>
      <c r="C12" s="5"/>
      <c r="D12" s="5"/>
      <c r="E12" s="5"/>
      <c r="F12" s="5"/>
      <c r="G12" s="5"/>
      <c r="H12" s="5"/>
    </row>
    <row r="13" customFormat="false" ht="30" hidden="false" customHeight="true" outlineLevel="0" collapsed="false">
      <c r="B13" s="6" t="s">
        <v>92</v>
      </c>
      <c r="C13" s="6" t="s">
        <v>93</v>
      </c>
      <c r="D13" s="6" t="s">
        <v>94</v>
      </c>
      <c r="E13" s="6" t="s">
        <v>95</v>
      </c>
      <c r="F13" s="6" t="s">
        <v>96</v>
      </c>
      <c r="G13" s="44"/>
      <c r="H13" s="44"/>
    </row>
    <row r="14" customFormat="false" ht="21.75" hidden="false" customHeight="true" outlineLevel="0" collapsed="false">
      <c r="B14" s="20" t="s">
        <v>36</v>
      </c>
      <c r="C14" s="19" t="s">
        <v>103</v>
      </c>
      <c r="D14" s="52" t="n">
        <v>26616.82</v>
      </c>
      <c r="E14" s="53" t="s">
        <v>104</v>
      </c>
      <c r="F14" s="20" t="s">
        <v>105</v>
      </c>
    </row>
    <row r="15" customFormat="false" ht="21.75" hidden="false" customHeight="true" outlineLevel="0" collapsed="false">
      <c r="B15" s="20" t="s">
        <v>38</v>
      </c>
      <c r="C15" s="19" t="s">
        <v>106</v>
      </c>
      <c r="D15" s="52" t="n">
        <v>39356</v>
      </c>
      <c r="E15" s="53" t="s">
        <v>104</v>
      </c>
      <c r="F15" s="20" t="s">
        <v>107</v>
      </c>
    </row>
  </sheetData>
  <mergeCells count="4">
    <mergeCell ref="B2:H2"/>
    <mergeCell ref="B3:H3"/>
    <mergeCell ref="B5:H5"/>
    <mergeCell ref="B12:H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60"/>
    <col collapsed="false" customWidth="true" hidden="false" outlineLevel="0" max="3" min="3" style="0" width="2"/>
  </cols>
  <sheetData>
    <row r="1" customFormat="false" ht="7.5" hidden="false" customHeight="true" outlineLevel="0" collapsed="false"/>
    <row r="2" customFormat="false" ht="33.75" hidden="false" customHeight="true" outlineLevel="0" collapsed="false">
      <c r="B2" s="54" t="s">
        <v>108</v>
      </c>
    </row>
    <row r="3" customFormat="false" ht="7.5" hidden="false" customHeight="true" outlineLevel="0" collapsed="false">
      <c r="B3" s="55"/>
    </row>
    <row r="4" customFormat="false" ht="21.75" hidden="false" customHeight="true" outlineLevel="0" collapsed="false">
      <c r="B4" s="56" t="s">
        <v>109</v>
      </c>
    </row>
    <row r="5" customFormat="false" ht="30" hidden="false" customHeight="true" outlineLevel="0" collapsed="false">
      <c r="B5" s="57" t="s">
        <v>110</v>
      </c>
    </row>
    <row r="6" customFormat="false" ht="7.5" hidden="false" customHeight="true" outlineLevel="0" collapsed="false">
      <c r="B6" s="55"/>
    </row>
    <row r="7" customFormat="false" ht="21.75" hidden="false" customHeight="true" outlineLevel="0" collapsed="false">
      <c r="B7" s="56" t="s">
        <v>111</v>
      </c>
    </row>
    <row r="8" customFormat="false" ht="18" hidden="false" customHeight="true" outlineLevel="0" collapsed="false">
      <c r="B8" s="58" t="s">
        <v>112</v>
      </c>
    </row>
    <row r="9" customFormat="false" ht="18" hidden="false" customHeight="true" outlineLevel="0" collapsed="false">
      <c r="B9" s="59" t="s">
        <v>113</v>
      </c>
    </row>
    <row r="10" customFormat="false" ht="18" hidden="false" customHeight="true" outlineLevel="0" collapsed="false">
      <c r="B10" s="58" t="s">
        <v>114</v>
      </c>
    </row>
    <row r="11" customFormat="false" ht="18" hidden="false" customHeight="true" outlineLevel="0" collapsed="false">
      <c r="B11" s="59" t="s">
        <v>115</v>
      </c>
    </row>
    <row r="12" customFormat="false" ht="18" hidden="false" customHeight="true" outlineLevel="0" collapsed="false">
      <c r="B12" s="58" t="s">
        <v>116</v>
      </c>
    </row>
    <row r="13" customFormat="false" ht="18" hidden="false" customHeight="true" outlineLevel="0" collapsed="false">
      <c r="B13" s="60" t="s">
        <v>117</v>
      </c>
    </row>
    <row r="14" customFormat="false" ht="18" hidden="false" customHeight="true" outlineLevel="0" collapsed="false">
      <c r="B14" s="61" t="s">
        <v>118</v>
      </c>
    </row>
    <row r="15" customFormat="false" ht="18" hidden="false" customHeight="true" outlineLevel="0" collapsed="false">
      <c r="B15" s="60" t="s">
        <v>119</v>
      </c>
    </row>
    <row r="16" customFormat="false" ht="18" hidden="false" customHeight="true" outlineLevel="0" collapsed="false">
      <c r="B16" s="61" t="s">
        <v>120</v>
      </c>
    </row>
    <row r="17" customFormat="false" ht="18" hidden="false" customHeight="true" outlineLevel="0" collapsed="false">
      <c r="B17" s="60" t="s">
        <v>121</v>
      </c>
    </row>
    <row r="18" customFormat="false" ht="18" hidden="false" customHeight="true" outlineLevel="0" collapsed="false">
      <c r="B18" s="58" t="s">
        <v>122</v>
      </c>
    </row>
    <row r="19" customFormat="false" ht="18" hidden="false" customHeight="true" outlineLevel="0" collapsed="false">
      <c r="B19" s="59" t="s">
        <v>123</v>
      </c>
    </row>
    <row r="20" customFormat="false" ht="18" hidden="false" customHeight="true" outlineLevel="0" collapsed="false">
      <c r="B20" s="61" t="s">
        <v>124</v>
      </c>
    </row>
    <row r="21" customFormat="false" ht="18" hidden="false" customHeight="true" outlineLevel="0" collapsed="false">
      <c r="B21" s="60" t="s">
        <v>125</v>
      </c>
    </row>
    <row r="22" customFormat="false" ht="18" hidden="false" customHeight="true" outlineLevel="0" collapsed="false">
      <c r="B22" s="61" t="s">
        <v>126</v>
      </c>
    </row>
    <row r="23" customFormat="false" ht="18" hidden="false" customHeight="true" outlineLevel="0" collapsed="false">
      <c r="B23" s="60" t="s">
        <v>127</v>
      </c>
    </row>
    <row r="24" customFormat="false" ht="18" hidden="false" customHeight="true" outlineLevel="0" collapsed="false">
      <c r="B24" s="61" t="s">
        <v>128</v>
      </c>
    </row>
    <row r="25" customFormat="false" ht="18" hidden="false" customHeight="true" outlineLevel="0" collapsed="false">
      <c r="B25" s="60" t="s">
        <v>129</v>
      </c>
    </row>
    <row r="26" customFormat="false" ht="18" hidden="false" customHeight="true" outlineLevel="0" collapsed="false">
      <c r="B26" s="58" t="s">
        <v>130</v>
      </c>
    </row>
    <row r="27" customFormat="false" ht="7.5" hidden="false" customHeight="true" outlineLevel="0" collapsed="false">
      <c r="B27" s="55"/>
    </row>
    <row r="28" customFormat="false" ht="21.75" hidden="false" customHeight="true" outlineLevel="0" collapsed="false">
      <c r="B28" s="56"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2026-05-31T16:22:57Z</dcterms:created>
  <dc:creator>openpyxl</dc:creator>
  <dc:description/>
  <dc:language>en-US</dc:language>
  <cp:lastModifiedBy/>
  <dcterms:modified xsi:type="dcterms:W3CDTF">2026-05-31T16:28:19Z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